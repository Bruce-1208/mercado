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登录明细" sheetId="2" state="visible" r:id="rId2"/>
  </sheets>
  <definedNames>
    <definedName name="_xlnm._FilterDatabase" localSheetId="1" hidden="1">'登录明细'!$A$1:$P$2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</font>
    <font>
      <name val="微软雅黑"/>
      <b val="1"/>
    </font>
    <font>
      <name val="微软雅黑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 ht="28" customHeight="1">
      <c r="A1" s="1" t="inlineStr">
        <is>
          <t>美客多店铺登录状态汇总</t>
        </is>
      </c>
    </row>
    <row r="3">
      <c r="A3" s="2" t="inlineStr">
        <is>
          <t>生成时间</t>
        </is>
      </c>
      <c r="B3" s="3" t="inlineStr">
        <is>
          <t>2026-07-24 15:20:45</t>
        </is>
      </c>
    </row>
    <row r="4">
      <c r="A4" s="2" t="inlineStr">
        <is>
          <t>店铺总数</t>
        </is>
      </c>
      <c r="B4" s="3">
        <f>COUNTA('登录明细'!B:B)-1</f>
        <v/>
      </c>
    </row>
    <row r="5">
      <c r="A5" s="2" t="inlineStr">
        <is>
          <t>原本已登录</t>
        </is>
      </c>
      <c r="B5" s="3">
        <f>COUNTIF('登录明细'!G:G,"原本已登录")</f>
        <v/>
      </c>
    </row>
    <row r="6">
      <c r="A6" s="2" t="inlineStr">
        <is>
          <t>未登录，程序登录成功</t>
        </is>
      </c>
      <c r="B6" s="3">
        <f>COUNTIF('登录明细'!G:G,"未登录，程序登录成功")</f>
        <v/>
      </c>
    </row>
    <row r="7">
      <c r="A7" s="2" t="inlineStr">
        <is>
          <t>未登录，程序登录失败</t>
        </is>
      </c>
      <c r="B7" s="3">
        <f>COUNTIF('登录明细'!G:G,"未登录，程序登录失败")</f>
        <v/>
      </c>
    </row>
    <row r="8">
      <c r="A8" s="2" t="inlineStr">
        <is>
          <t>其中：浏览器未保存默认密码</t>
        </is>
      </c>
      <c r="B8" s="3">
        <f>COUNTIF('登录明细'!H:H,"浏览器未保存默认密码")</f>
        <v/>
      </c>
    </row>
    <row r="9">
      <c r="A9" s="2" t="inlineStr">
        <is>
          <t>其中：浏览器默认密码错误</t>
        </is>
      </c>
      <c r="B9" s="3">
        <f>COUNTIF('登录明细'!H:H,"浏览器默认密码错误")</f>
        <v/>
      </c>
    </row>
    <row r="10">
      <c r="A10" s="2" t="inlineStr">
        <is>
          <t>未登录，程序登录遇到验证码</t>
        </is>
      </c>
      <c r="B10" s="3">
        <f>COUNTIF('登录明细'!G:G,"未登录，程序登录遇到验证码")</f>
        <v/>
      </c>
    </row>
    <row r="11">
      <c r="A11" s="2" t="inlineStr">
        <is>
          <t>未登录，程序登录遇到人机验证</t>
        </is>
      </c>
      <c r="B11" s="3">
        <f>COUNTIF('登录明细'!G:G,"未登录，程序登录遇到人机验证")</f>
        <v/>
      </c>
    </row>
    <row r="12">
      <c r="A12" s="2" t="inlineStr">
        <is>
          <t>未完成登录判断</t>
        </is>
      </c>
      <c r="B12" s="3">
        <f>COUNTIF('登录明细'!G:G,"未完成登录判断")</f>
        <v/>
      </c>
    </row>
    <row r="13">
      <c r="A13" s="2" t="inlineStr">
        <is>
          <t>浏览器关闭失败</t>
        </is>
      </c>
      <c r="B13" s="3">
        <f>COUNTIF('登录明细'!N:N,"失败")</f>
        <v/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36" customWidth="1" min="3" max="3"/>
    <col width="30" customWidth="1" min="4" max="4"/>
    <col width="14" customWidth="1" min="5" max="5"/>
    <col width="20" customWidth="1" min="6" max="6"/>
    <col width="32" customWidth="1" min="7" max="7"/>
    <col width="20" customWidth="1" min="8" max="8"/>
    <col width="14" customWidth="1" min="9" max="9"/>
    <col width="12" customWidth="1" min="10" max="10"/>
    <col width="18" customWidth="1" min="11" max="11"/>
    <col width="55" customWidth="1" min="12" max="12"/>
    <col width="21" customWidth="1" min="13" max="13"/>
    <col width="16" customWidth="1" min="14" max="14"/>
    <col width="21" customWidth="1" min="15" max="15"/>
    <col width="14" customWidth="1" min="16" max="16"/>
  </cols>
  <sheetData>
    <row r="1" ht="25" customHeight="1">
      <c r="A1" s="4" t="inlineStr">
        <is>
          <t>序号</t>
        </is>
      </c>
      <c r="B1" s="4" t="inlineStr">
        <is>
          <t>店铺名</t>
        </is>
      </c>
      <c r="C1" s="4" t="inlineStr">
        <is>
          <t>窗口ID</t>
        </is>
      </c>
      <c r="D1" s="4" t="inlineStr">
        <is>
          <t>邮箱</t>
        </is>
      </c>
      <c r="E1" s="4" t="inlineStr">
        <is>
          <t>初始登录状态</t>
        </is>
      </c>
      <c r="F1" s="4" t="inlineStr">
        <is>
          <t>程序登录结果</t>
        </is>
      </c>
      <c r="G1" s="4" t="inlineStr">
        <is>
          <t>最终判断</t>
        </is>
      </c>
      <c r="H1" s="4" t="inlineStr">
        <is>
          <t>技术状态</t>
        </is>
      </c>
      <c r="I1" s="4" t="inlineStr">
        <is>
          <t>登录阶段</t>
        </is>
      </c>
      <c r="J1" s="4" t="inlineStr">
        <is>
          <t>是否成功</t>
        </is>
      </c>
      <c r="K1" s="4" t="inlineStr">
        <is>
          <t>执行动作</t>
        </is>
      </c>
      <c r="L1" s="4" t="inlineStr">
        <is>
          <t>说明</t>
        </is>
      </c>
      <c r="M1" s="4" t="inlineStr">
        <is>
          <t>开始时间</t>
        </is>
      </c>
      <c r="N1" s="4" t="inlineStr">
        <is>
          <t>浏览器关闭情况</t>
        </is>
      </c>
      <c r="O1" s="4" t="inlineStr">
        <is>
          <t>结束时间</t>
        </is>
      </c>
      <c r="P1" s="4" t="inlineStr">
        <is>
          <t>耗时（秒）</t>
        </is>
      </c>
    </row>
    <row r="2">
      <c r="A2" s="5" t="n">
        <v>1</v>
      </c>
      <c r="B2" s="5" t="inlineStr">
        <is>
          <t>六六大顺</t>
        </is>
      </c>
      <c r="C2" s="5" t="inlineStr">
        <is>
          <t>7c68f33100064d1f8ee82f79a667b223</t>
        </is>
      </c>
      <c r="D2" s="5" t="inlineStr">
        <is>
          <t>huruize553@outlook.com</t>
        </is>
      </c>
      <c r="E2" s="5" t="inlineStr">
        <is>
          <t>未登录</t>
        </is>
      </c>
      <c r="F2" s="5" t="inlineStr">
        <is>
          <t>登录失败</t>
        </is>
      </c>
      <c r="G2" s="5" t="inlineStr">
        <is>
          <t>未登录，程序登录失败</t>
        </is>
      </c>
      <c r="H2" s="5" t="inlineStr">
        <is>
          <t>浏览器未保存默认密码</t>
        </is>
      </c>
      <c r="I2" s="5" t="inlineStr">
        <is>
          <t>password</t>
        </is>
      </c>
      <c r="J2" s="5" t="inlineStr">
        <is>
          <t>否</t>
        </is>
      </c>
      <c r="K2" s="5" t="inlineStr">
        <is>
          <t>自动登录失败</t>
        </is>
      </c>
      <c r="L2" s="5" t="inlineStr">
        <is>
          <t>六六大顺 浏览器未保存可用的默认密码</t>
        </is>
      </c>
      <c r="M2" s="5" t="inlineStr">
        <is>
          <t>2026-07-24 15:19:22</t>
        </is>
      </c>
      <c r="N2" s="5" t="inlineStr">
        <is>
          <t>是</t>
        </is>
      </c>
      <c r="O2" s="5" t="inlineStr">
        <is>
          <t>2026-07-24 15:20:45</t>
        </is>
      </c>
      <c r="P2" s="5" t="n">
        <v>83.3</v>
      </c>
    </row>
  </sheetData>
  <autoFilter ref="A1:P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2026-07-24T07:20:45Z</dcterms:created>
  <dcterms:modified xsi:type="dcterms:W3CDTF">2026-07-24T07:20:45Z</dcterms:modified>
</cp:coreProperties>
</file>