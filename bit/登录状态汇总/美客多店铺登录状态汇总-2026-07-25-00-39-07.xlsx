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'登录明细'!$A$1:$P$4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2026-07-25 00:39:07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原本已登录</t>
        </is>
      </c>
      <c r="B5" s="3">
        <f>COUNTIF('登录明细'!G:G,"原本已登录")</f>
        <v/>
      </c>
    </row>
    <row r="6">
      <c r="A6" s="2" t="inlineStr">
        <is>
          <t>未登录，程序登录成功</t>
        </is>
      </c>
      <c r="B6" s="3">
        <f>COUNTIF('登录明细'!G:G,"未登录，程序登录成功")</f>
        <v/>
      </c>
    </row>
    <row r="7">
      <c r="A7" s="2" t="inlineStr">
        <is>
          <t>自动登录失败，人工登录成功</t>
        </is>
      </c>
      <c r="B7" s="3">
        <f>COUNTIF('登录明细'!G:G,"自动登录失败，人工登录成功")</f>
        <v/>
      </c>
    </row>
    <row r="8">
      <c r="A8" s="2" t="inlineStr">
        <is>
          <t>未登录，程序登录失败</t>
        </is>
      </c>
      <c r="B8" s="3">
        <f>COUNTIF('登录明细'!G:G,"未登录，程序登录失败")</f>
        <v/>
      </c>
    </row>
    <row r="9">
      <c r="A9" s="2" t="inlineStr">
        <is>
          <t>其中：浏览器未保存默认密码</t>
        </is>
      </c>
      <c r="B9" s="3">
        <f>COUNTIF('登录明细'!H:H,"浏览器未保存默认密码")</f>
        <v/>
      </c>
    </row>
    <row r="10">
      <c r="A10" s="2" t="inlineStr">
        <is>
          <t>其中：浏览器默认密码错误</t>
        </is>
      </c>
      <c r="B10" s="3">
        <f>COUNTIF('登录明细'!H:H,"浏览器默认密码错误")</f>
        <v/>
      </c>
    </row>
    <row r="11">
      <c r="A11" s="2" t="inlineStr">
        <is>
          <t>未登录，程序登录遇到验证码</t>
        </is>
      </c>
      <c r="B11" s="3">
        <f>COUNTIF('登录明细'!G:G,"未登录，程序登录遇到验证码")</f>
        <v/>
      </c>
    </row>
    <row r="12">
      <c r="A12" s="2" t="inlineStr">
        <is>
          <t>未登录，程序登录遇到人机验证</t>
        </is>
      </c>
      <c r="B12" s="3">
        <f>COUNTIF('登录明细'!G:G,"未登录，程序登录遇到人机验证")</f>
        <v/>
      </c>
    </row>
    <row r="13">
      <c r="A13" s="2" t="inlineStr">
        <is>
          <t>未完成登录判断</t>
        </is>
      </c>
      <c r="B13" s="3">
        <f>COUNTIF('登录明细'!G:G,"未完成登录判断")</f>
        <v/>
      </c>
    </row>
    <row r="14">
      <c r="A14" s="2" t="inlineStr">
        <is>
          <t>浏览器关闭失败</t>
        </is>
      </c>
      <c r="B14" s="3">
        <f>COUNTIF('登录明细'!N:N,"失败")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14" customWidth="1" min="5" max="5"/>
    <col width="20" customWidth="1" min="6" max="6"/>
    <col width="32" customWidth="1" min="7" max="7"/>
    <col width="20" customWidth="1" min="8" max="8"/>
    <col width="14" customWidth="1" min="9" max="9"/>
    <col width="12" customWidth="1" min="10" max="10"/>
    <col width="18" customWidth="1" min="11" max="11"/>
    <col width="55" customWidth="1" min="12" max="12"/>
    <col width="21" customWidth="1" min="13" max="13"/>
    <col width="16" customWidth="1" min="14" max="14"/>
    <col width="21" customWidth="1" min="15" max="15"/>
    <col width="14" customWidth="1" min="16" max="16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初始登录状态</t>
        </is>
      </c>
      <c r="F1" s="4" t="inlineStr">
        <is>
          <t>程序登录结果</t>
        </is>
      </c>
      <c r="G1" s="4" t="inlineStr">
        <is>
          <t>最终判断</t>
        </is>
      </c>
      <c r="H1" s="4" t="inlineStr">
        <is>
          <t>技术状态</t>
        </is>
      </c>
      <c r="I1" s="4" t="inlineStr">
        <is>
          <t>登录阶段</t>
        </is>
      </c>
      <c r="J1" s="4" t="inlineStr">
        <is>
          <t>是否成功</t>
        </is>
      </c>
      <c r="K1" s="4" t="inlineStr">
        <is>
          <t>执行动作</t>
        </is>
      </c>
      <c r="L1" s="4" t="inlineStr">
        <is>
          <t>说明</t>
        </is>
      </c>
      <c r="M1" s="4" t="inlineStr">
        <is>
          <t>开始时间</t>
        </is>
      </c>
      <c r="N1" s="4" t="inlineStr">
        <is>
          <t>浏览器关闭情况</t>
        </is>
      </c>
      <c r="O1" s="4" t="inlineStr">
        <is>
          <t>结束时间</t>
        </is>
      </c>
      <c r="P1" s="4" t="inlineStr">
        <is>
          <t>耗时（秒）</t>
        </is>
      </c>
    </row>
    <row r="2">
      <c r="A2" s="5" t="n">
        <v>1</v>
      </c>
      <c r="B2" s="5" t="inlineStr">
        <is>
          <t>飞黄腾达3</t>
        </is>
      </c>
      <c r="C2" s="5" t="inlineStr">
        <is>
          <t>8282ffc163ee46c783cc5b4db71f7479</t>
        </is>
      </c>
      <c r="D2" s="5" t="inlineStr">
        <is>
          <t>zetengmercado3@outlook.com</t>
        </is>
      </c>
      <c r="E2" s="5" t="inlineStr">
        <is>
          <t>未登录</t>
        </is>
      </c>
      <c r="F2" s="5" t="inlineStr">
        <is>
          <t>人工登录成功</t>
        </is>
      </c>
      <c r="G2" s="5" t="inlineStr">
        <is>
          <t>自动登录失败，人工登录成功</t>
        </is>
      </c>
      <c r="H2" s="5" t="inlineStr">
        <is>
          <t>登录成功</t>
        </is>
      </c>
      <c r="I2" s="5" t="inlineStr">
        <is>
          <t>logged_in</t>
        </is>
      </c>
      <c r="J2" s="5" t="inlineStr">
        <is>
          <t>是</t>
        </is>
      </c>
      <c r="K2" s="5" t="inlineStr">
        <is>
          <t>人工登录</t>
        </is>
      </c>
      <c r="L2" s="5" t="inlineStr">
        <is>
          <t>飞黄腾达3 自动登录失败后由人工登录成功</t>
        </is>
      </c>
      <c r="M2" s="5" t="inlineStr">
        <is>
          <t>2026-07-25 00:34:54</t>
        </is>
      </c>
      <c r="N2" s="5" t="inlineStr">
        <is>
          <t>是</t>
        </is>
      </c>
      <c r="O2" s="5" t="inlineStr">
        <is>
          <t>2026-07-25 00:39:07</t>
        </is>
      </c>
      <c r="P2" s="5" t="n">
        <v>252.7</v>
      </c>
    </row>
    <row r="3">
      <c r="A3" s="6" t="n">
        <v>2</v>
      </c>
      <c r="B3" s="6" t="inlineStr">
        <is>
          <t>钱程似锦5</t>
        </is>
      </c>
      <c r="C3" s="6" t="inlineStr">
        <is>
          <t>00287da1c0964c6889a239c98547b0f5</t>
        </is>
      </c>
      <c r="D3" s="6" t="inlineStr">
        <is>
          <t>mecadoqianjun5@outlook.com</t>
        </is>
      </c>
      <c r="E3" s="6" t="inlineStr">
        <is>
          <t>未确认</t>
        </is>
      </c>
      <c r="F3" s="6" t="inlineStr">
        <is>
          <t>未执行</t>
        </is>
      </c>
      <c r="G3" s="6" t="inlineStr">
        <is>
          <t>未完成登录判断</t>
        </is>
      </c>
      <c r="H3" s="6" t="inlineStr">
        <is>
          <t>登录状态检测失败</t>
        </is>
      </c>
      <c r="I3" s="6" t="inlineStr"/>
      <c r="J3" s="6" t="inlineStr">
        <is>
          <t>否</t>
        </is>
      </c>
      <c r="K3" s="6" t="inlineStr">
        <is>
          <t>执行异常</t>
        </is>
      </c>
      <c r="L3" s="6" t="inlineStr">
        <is>
          <t>钱程似锦5 登录任务异常：服务调用成功，但没有找到相应数据！</t>
        </is>
      </c>
      <c r="M3" s="6" t="inlineStr">
        <is>
          <t>2026-07-25 00:34:54</t>
        </is>
      </c>
      <c r="N3" s="6" t="inlineStr">
        <is>
          <t>是</t>
        </is>
      </c>
      <c r="O3" s="6" t="inlineStr">
        <is>
          <t>2026-07-25 00:35:57</t>
        </is>
      </c>
      <c r="P3" s="6" t="n">
        <v>63.3</v>
      </c>
    </row>
    <row r="4">
      <c r="A4" s="7" t="n">
        <v>3</v>
      </c>
      <c r="B4" s="7" t="inlineStr">
        <is>
          <t>杨雨萌9</t>
        </is>
      </c>
      <c r="C4" s="7" t="inlineStr">
        <is>
          <t>49b850480b2f474fa0bb0ea986800ef8</t>
        </is>
      </c>
      <c r="D4" s="7" t="inlineStr">
        <is>
          <t>mercadoyangyumeng9@outlook.com</t>
        </is>
      </c>
      <c r="E4" s="7" t="inlineStr">
        <is>
          <t>未登录</t>
        </is>
      </c>
      <c r="F4" s="7" t="inlineStr">
        <is>
          <t>遇到人机验证</t>
        </is>
      </c>
      <c r="G4" s="7" t="inlineStr">
        <is>
          <t>未登录，程序登录遇到人机验证</t>
        </is>
      </c>
      <c r="H4" s="7" t="inlineStr">
        <is>
          <t>需要人机验证</t>
        </is>
      </c>
      <c r="I4" s="7" t="inlineStr">
        <is>
          <t>captcha</t>
        </is>
      </c>
      <c r="J4" s="7" t="inlineStr">
        <is>
          <t>否</t>
        </is>
      </c>
      <c r="K4" s="7" t="inlineStr">
        <is>
          <t>未登录</t>
        </is>
      </c>
      <c r="L4" s="7" t="inlineStr">
        <is>
          <t>杨雨萌9 出现人机验证，需要人工处理；等待人工登录 180 秒后仍未登录（captcha）</t>
        </is>
      </c>
      <c r="M4" s="7" t="inlineStr">
        <is>
          <t>2026-07-25 00:34:54</t>
        </is>
      </c>
      <c r="N4" s="7" t="inlineStr">
        <is>
          <t>是</t>
        </is>
      </c>
      <c r="O4" s="7" t="inlineStr">
        <is>
          <t>2026-07-25 00:39:04</t>
        </is>
      </c>
      <c r="P4" s="7" t="n">
        <v>249.7</v>
      </c>
    </row>
  </sheetData>
  <autoFilter ref="A1:P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2026-07-24T16:39:07Z</dcterms:created>
  <dcterms:modified xsi:type="dcterms:W3CDTF">2026-07-24T16:39:07Z</dcterms:modified>
</cp:coreProperties>
</file>