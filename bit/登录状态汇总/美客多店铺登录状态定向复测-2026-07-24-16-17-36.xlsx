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2026-07-24 16:17:36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未登录，程序登录失败</t>
        </is>
      </c>
      <c r="B7" s="3">
        <f>COUNTIF('登录明细'!G:G,"未登录，程序登录失败")</f>
        <v/>
      </c>
    </row>
    <row r="8">
      <c r="A8" s="2" t="inlineStr">
        <is>
          <t>其中：浏览器未保存默认密码</t>
        </is>
      </c>
      <c r="B8" s="3">
        <f>COUNTIF('登录明细'!H:H,"浏览器未保存默认密码")</f>
        <v/>
      </c>
    </row>
    <row r="9">
      <c r="A9" s="2" t="inlineStr">
        <is>
          <t>其中：浏览器默认密码错误</t>
        </is>
      </c>
      <c r="B9" s="3">
        <f>COUNTIF('登录明细'!H:H,"浏览器默认密码错误")</f>
        <v/>
      </c>
    </row>
    <row r="10">
      <c r="A10" s="2" t="inlineStr">
        <is>
          <t>未登录，程序登录遇到验证码</t>
        </is>
      </c>
      <c r="B10" s="3">
        <f>COUNTIF('登录明细'!G:G,"未登录，程序登录遇到验证码")</f>
        <v/>
      </c>
    </row>
    <row r="11">
      <c r="A11" s="2" t="inlineStr">
        <is>
          <t>未登录，程序登录遇到人机验证</t>
        </is>
      </c>
      <c r="B11" s="3">
        <f>COUNTIF('登录明细'!G:G,"未登录，程序登录遇到人机验证")</f>
        <v/>
      </c>
    </row>
    <row r="12">
      <c r="A12" s="2" t="inlineStr">
        <is>
          <t>未完成登录判断</t>
        </is>
      </c>
      <c r="B12" s="3">
        <f>COUNTIF('登录明细'!G:G,"未完成登录判断")</f>
        <v/>
      </c>
    </row>
    <row r="13">
      <c r="A13" s="2" t="inlineStr">
        <is>
          <t>浏览器关闭失败</t>
        </is>
      </c>
      <c r="B13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飞黄腾达3</t>
        </is>
      </c>
      <c r="C2" s="5" t="inlineStr">
        <is>
          <t>8282ffc163ee46c783cc5b4db71f7479</t>
        </is>
      </c>
      <c r="D2" s="5" t="inlineStr">
        <is>
          <t>zetengmercado3@outlook.com</t>
        </is>
      </c>
      <c r="E2" s="5" t="inlineStr">
        <is>
          <t>未登录</t>
        </is>
      </c>
      <c r="F2" s="5" t="inlineStr">
        <is>
          <t>登录失败</t>
        </is>
      </c>
      <c r="G2" s="5" t="inlineStr">
        <is>
          <t>未登录，程序登录失败</t>
        </is>
      </c>
      <c r="H2" s="5" t="inlineStr">
        <is>
          <t>浏览器未保存默认密码</t>
        </is>
      </c>
      <c r="I2" s="5" t="inlineStr">
        <is>
          <t>password</t>
        </is>
      </c>
      <c r="J2" s="5" t="inlineStr">
        <is>
          <t>否</t>
        </is>
      </c>
      <c r="K2" s="5" t="inlineStr">
        <is>
          <t>自动登录失败</t>
        </is>
      </c>
      <c r="L2" s="5" t="inlineStr">
        <is>
          <t>飞黄腾达3 浏览器未保存可用的默认密码</t>
        </is>
      </c>
      <c r="M2" s="5" t="inlineStr">
        <is>
          <t>2026-07-24 16:07:55</t>
        </is>
      </c>
      <c r="N2" s="5" t="inlineStr">
        <is>
          <t>是</t>
        </is>
      </c>
      <c r="O2" s="5" t="inlineStr">
        <is>
          <t>2026-07-24 16:10:04</t>
        </is>
      </c>
      <c r="P2" s="5" t="n">
        <v>128.9</v>
      </c>
    </row>
    <row r="3">
      <c r="A3" s="6" t="n">
        <v>2</v>
      </c>
      <c r="B3" s="6" t="inlineStr">
        <is>
          <t>发财猪</t>
        </is>
      </c>
      <c r="C3" s="6" t="inlineStr">
        <is>
          <t>a6de8a3a7776481faedf942cd1928a3d</t>
        </is>
      </c>
      <c r="D3" s="6" t="inlineStr">
        <is>
          <t>liaoshuo8888@outlook.com</t>
        </is>
      </c>
      <c r="E3" s="6" t="inlineStr">
        <is>
          <t>未登录</t>
        </is>
      </c>
      <c r="F3" s="6" t="inlineStr">
        <is>
          <t>遇到人机验证</t>
        </is>
      </c>
      <c r="G3" s="6" t="inlineStr">
        <is>
          <t>未登录，程序登录遇到人机验证</t>
        </is>
      </c>
      <c r="H3" s="6" t="inlineStr">
        <is>
          <t>需要人机验证</t>
        </is>
      </c>
      <c r="I3" s="6" t="inlineStr">
        <is>
          <t>captcha</t>
        </is>
      </c>
      <c r="J3" s="6" t="inlineStr">
        <is>
          <t>否</t>
        </is>
      </c>
      <c r="K3" s="6" t="inlineStr">
        <is>
          <t>未登录</t>
        </is>
      </c>
      <c r="L3" s="6" t="inlineStr">
        <is>
          <t>发财猪 出现人机验证，需要人工处理</t>
        </is>
      </c>
      <c r="M3" s="6" t="inlineStr">
        <is>
          <t>2026-07-24 16:10:04</t>
        </is>
      </c>
      <c r="N3" s="6" t="inlineStr">
        <is>
          <t>是</t>
        </is>
      </c>
      <c r="O3" s="6" t="inlineStr">
        <is>
          <t>2026-07-24 16:10:44</t>
        </is>
      </c>
      <c r="P3" s="6" t="n">
        <v>39.9</v>
      </c>
    </row>
    <row r="4">
      <c r="A4" s="5" t="n">
        <v>3</v>
      </c>
      <c r="B4" s="5" t="inlineStr">
        <is>
          <t>梁山好汉111</t>
        </is>
      </c>
      <c r="C4" s="5" t="inlineStr">
        <is>
          <t>5678b16fd72d48808ff992154dee8162</t>
        </is>
      </c>
      <c r="D4" s="5" t="inlineStr">
        <is>
          <t>mingmingerr@outlook.com</t>
        </is>
      </c>
      <c r="E4" s="5" t="inlineStr">
        <is>
          <t>未登录</t>
        </is>
      </c>
      <c r="F4" s="5" t="inlineStr">
        <is>
          <t>登录失败</t>
        </is>
      </c>
      <c r="G4" s="5" t="inlineStr">
        <is>
          <t>未登录，程序登录失败</t>
        </is>
      </c>
      <c r="H4" s="5" t="inlineStr">
        <is>
          <t>登录状态检测失败</t>
        </is>
      </c>
      <c r="I4" s="5" t="inlineStr">
        <is>
          <t>rate_limited</t>
        </is>
      </c>
      <c r="J4" s="5" t="inlineStr">
        <is>
          <t>否</t>
        </is>
      </c>
      <c r="K4" s="5" t="inlineStr">
        <is>
          <t>自动登录未完成</t>
        </is>
      </c>
      <c r="L4" s="5" t="inlineStr">
        <is>
          <t>梁山好汉111 提交浏览器保存密码后仍未登录：梁山好汉111 检测到美客多限频，切换节点后重试 2 次仍未恢复（节点切换：switched）</t>
        </is>
      </c>
      <c r="M4" s="5" t="inlineStr">
        <is>
          <t>2026-07-24 16:10:44</t>
        </is>
      </c>
      <c r="N4" s="5" t="inlineStr">
        <is>
          <t>是</t>
        </is>
      </c>
      <c r="O4" s="5" t="inlineStr">
        <is>
          <t>2026-07-24 16:12:22</t>
        </is>
      </c>
      <c r="P4" s="5" t="n">
        <v>98</v>
      </c>
    </row>
    <row r="5">
      <c r="A5" s="5" t="n">
        <v>4</v>
      </c>
      <c r="B5" s="5" t="inlineStr">
        <is>
          <t>梁山好汉222</t>
        </is>
      </c>
      <c r="C5" s="5" t="inlineStr">
        <is>
          <t>dae8490852304cf3a08d8a68a137dae1</t>
        </is>
      </c>
      <c r="D5" s="5" t="inlineStr">
        <is>
          <t>xinhuilaicai666@outlook.com</t>
        </is>
      </c>
      <c r="E5" s="5" t="inlineStr">
        <is>
          <t>未登录</t>
        </is>
      </c>
      <c r="F5" s="5" t="inlineStr">
        <is>
          <t>登录失败</t>
        </is>
      </c>
      <c r="G5" s="5" t="inlineStr">
        <is>
          <t>未登录，程序登录失败</t>
        </is>
      </c>
      <c r="H5" s="5" t="inlineStr">
        <is>
          <t>浏览器未保存默认密码</t>
        </is>
      </c>
      <c r="I5" s="5" t="inlineStr">
        <is>
          <t>password</t>
        </is>
      </c>
      <c r="J5" s="5" t="inlineStr">
        <is>
          <t>否</t>
        </is>
      </c>
      <c r="K5" s="5" t="inlineStr">
        <is>
          <t>自动登录失败</t>
        </is>
      </c>
      <c r="L5" s="5" t="inlineStr">
        <is>
          <t>梁山好汉222 浏览器未保存可用的默认密码</t>
        </is>
      </c>
      <c r="M5" s="5" t="inlineStr">
        <is>
          <t>2026-07-24 16:12:22</t>
        </is>
      </c>
      <c r="N5" s="5" t="inlineStr">
        <is>
          <t>是</t>
        </is>
      </c>
      <c r="O5" s="5" t="inlineStr">
        <is>
          <t>2026-07-24 16:13:52</t>
        </is>
      </c>
      <c r="P5" s="5" t="n">
        <v>89.8</v>
      </c>
    </row>
    <row r="6">
      <c r="A6" s="5" t="n">
        <v>5</v>
      </c>
      <c r="B6" s="5" t="inlineStr">
        <is>
          <t>张健5</t>
        </is>
      </c>
      <c r="C6" s="5" t="inlineStr">
        <is>
          <t>fba66b9f4e9444648f8d8c2c0bc6a2ab</t>
        </is>
      </c>
      <c r="D6" s="5" t="inlineStr">
        <is>
          <t>mercadozhangjianzj5@outlook.com</t>
        </is>
      </c>
      <c r="E6" s="5" t="inlineStr">
        <is>
          <t>未登录</t>
        </is>
      </c>
      <c r="F6" s="5" t="inlineStr">
        <is>
          <t>登录失败</t>
        </is>
      </c>
      <c r="G6" s="5" t="inlineStr">
        <is>
          <t>未登录，程序登录失败</t>
        </is>
      </c>
      <c r="H6" s="5" t="inlineStr">
        <is>
          <t>登录状态检测失败</t>
        </is>
      </c>
      <c r="I6" s="5" t="inlineStr">
        <is>
          <t>email</t>
        </is>
      </c>
      <c r="J6" s="5" t="inlineStr">
        <is>
          <t>否</t>
        </is>
      </c>
      <c r="K6" s="5" t="inlineStr">
        <is>
          <t>自动登录失败</t>
        </is>
      </c>
      <c r="L6" s="5" t="inlineStr">
        <is>
          <t>张健5 邮箱重复提交后页面仍未继续</t>
        </is>
      </c>
      <c r="M6" s="5" t="inlineStr">
        <is>
          <t>2026-07-24 16:13:52</t>
        </is>
      </c>
      <c r="N6" s="5" t="inlineStr">
        <is>
          <t>是</t>
        </is>
      </c>
      <c r="O6" s="5" t="inlineStr">
        <is>
          <t>2026-07-24 16:15:34</t>
        </is>
      </c>
      <c r="P6" s="5" t="n">
        <v>102.3</v>
      </c>
    </row>
    <row r="7">
      <c r="A7" s="5" t="n">
        <v>6</v>
      </c>
      <c r="B7" s="5" t="inlineStr">
        <is>
          <t>高风亮节</t>
        </is>
      </c>
      <c r="C7" s="5" t="inlineStr">
        <is>
          <t>ab4d7d7e9b78450181f485d2253f6d37</t>
        </is>
      </c>
      <c r="D7" s="5" t="inlineStr">
        <is>
          <t>yugaohan333@outlook.com</t>
        </is>
      </c>
      <c r="E7" s="5" t="inlineStr">
        <is>
          <t>未登录</t>
        </is>
      </c>
      <c r="F7" s="5" t="inlineStr">
        <is>
          <t>登录失败</t>
        </is>
      </c>
      <c r="G7" s="5" t="inlineStr">
        <is>
          <t>未登录，程序登录失败</t>
        </is>
      </c>
      <c r="H7" s="5" t="inlineStr">
        <is>
          <t>登录状态检测失败</t>
        </is>
      </c>
      <c r="I7" s="5" t="inlineStr">
        <is>
          <t>email</t>
        </is>
      </c>
      <c r="J7" s="5" t="inlineStr">
        <is>
          <t>否</t>
        </is>
      </c>
      <c r="K7" s="5" t="inlineStr">
        <is>
          <t>自动登录失败</t>
        </is>
      </c>
      <c r="L7" s="5" t="inlineStr">
        <is>
          <t>高风亮节 邮箱重复提交后页面仍未继续</t>
        </is>
      </c>
      <c r="M7" s="5" t="inlineStr">
        <is>
          <t>2026-07-24 16:15:34</t>
        </is>
      </c>
      <c r="N7" s="5" t="inlineStr">
        <is>
          <t>是</t>
        </is>
      </c>
      <c r="O7" s="5" t="inlineStr">
        <is>
          <t>2026-07-24 16:17:14</t>
        </is>
      </c>
      <c r="P7" s="5" t="n">
        <v>100.1</v>
      </c>
    </row>
    <row r="8">
      <c r="A8" s="5" t="n">
        <v>7</v>
      </c>
      <c r="B8" s="5" t="inlineStr">
        <is>
          <t>步步高升</t>
        </is>
      </c>
      <c r="C8" s="5" t="inlineStr">
        <is>
          <t>19ba260e1440411196fdedfd4242fb51</t>
        </is>
      </c>
      <c r="D8" s="5" t="inlineStr"/>
      <c r="E8" s="5" t="inlineStr">
        <is>
          <t>未登录</t>
        </is>
      </c>
      <c r="F8" s="5" t="inlineStr">
        <is>
          <t>登录失败</t>
        </is>
      </c>
      <c r="G8" s="5" t="inlineStr">
        <is>
          <t>未登录，程序登录失败</t>
        </is>
      </c>
      <c r="H8" s="5" t="inlineStr">
        <is>
          <t>数据库未配置邮箱</t>
        </is>
      </c>
      <c r="I8" s="5" t="inlineStr">
        <is>
          <t>email</t>
        </is>
      </c>
      <c r="J8" s="5" t="inlineStr">
        <is>
          <t>否</t>
        </is>
      </c>
      <c r="K8" s="5" t="inlineStr">
        <is>
          <t>未登录</t>
        </is>
      </c>
      <c r="L8" s="5" t="inlineStr">
        <is>
          <t>步步高升 数据库配置没有邮箱，无法自动登录</t>
        </is>
      </c>
      <c r="M8" s="5" t="inlineStr">
        <is>
          <t>2026-07-24 16:17:14</t>
        </is>
      </c>
      <c r="N8" s="5" t="inlineStr">
        <is>
          <t>是</t>
        </is>
      </c>
      <c r="O8" s="5" t="inlineStr">
        <is>
          <t>2026-07-24 16:17:36</t>
        </is>
      </c>
      <c r="P8" s="5" t="n">
        <v>21.5</v>
      </c>
    </row>
  </sheetData>
  <autoFilter ref="A1:P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2026-07-24T08:17:36Z</dcterms:created>
  <dcterms:modified xsi:type="dcterms:W3CDTF">2026-07-24T08:17:36Z</dcterms:modified>
</cp:coreProperties>
</file>